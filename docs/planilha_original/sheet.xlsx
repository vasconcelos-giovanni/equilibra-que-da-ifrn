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O GERAL" sheetId="1" r:id="rId5"/>
    <sheet state="visible" name="MAT" sheetId="2" r:id="rId6"/>
    <sheet state="visible" name="LING" sheetId="3" r:id="rId7"/>
    <sheet state="visible" name="FIS" sheetId="4" r:id="rId8"/>
    <sheet state="visible" name="QUI" sheetId="5" r:id="rId9"/>
    <sheet state="visible" name="BIO" sheetId="6" r:id="rId10"/>
    <sheet state="visible" name="HIS" sheetId="7" r:id="rId11"/>
    <sheet state="visible" name="GEO" sheetId="8" r:id="rId12"/>
    <sheet state="visible" name="SOCIO" sheetId="9" r:id="rId13"/>
    <sheet state="visible" name="FIL" sheetId="10" r:id="rId14"/>
  </sheets>
  <definedNames/>
  <calcPr/>
</workbook>
</file>

<file path=xl/sharedStrings.xml><?xml version="1.0" encoding="utf-8"?>
<sst xmlns="http://schemas.openxmlformats.org/spreadsheetml/2006/main" count="423" uniqueCount="63">
  <si>
    <t>QUADRO GERAL - RESOLUÇÃO
DE QUESTÕES</t>
  </si>
  <si>
    <t>RESPONDIDAS</t>
  </si>
  <si>
    <t>ERRADAS</t>
  </si>
  <si>
    <t>CERTAS</t>
  </si>
  <si>
    <t>ENTRE</t>
  </si>
  <si>
    <t>MATEMÁTICA</t>
  </si>
  <si>
    <t>Errei na interpretação</t>
  </si>
  <si>
    <t>Faltou conteúdo</t>
  </si>
  <si>
    <t>LINGUAGENS</t>
  </si>
  <si>
    <t>Fiz depressa</t>
  </si>
  <si>
    <t>FÍSICA</t>
  </si>
  <si>
    <t>QUÍMICA</t>
  </si>
  <si>
    <t>BIOLOGIA</t>
  </si>
  <si>
    <t>HISTÓRIA</t>
  </si>
  <si>
    <t>GEOGRAFIA</t>
  </si>
  <si>
    <t>SOCIOLOGIA</t>
  </si>
  <si>
    <t>FILOSOFIA</t>
  </si>
  <si>
    <t>Coluna 1</t>
  </si>
  <si>
    <t>Nº DE QUESTÕES
RESPONDIDAS</t>
  </si>
  <si>
    <t>Nº DE QUESTÕES 
ERRADAS</t>
  </si>
  <si>
    <t>MOTIVO QUE MAIS 
LEVOU AO ERRO</t>
  </si>
  <si>
    <t>dia</t>
  </si>
  <si>
    <t>% de erros</t>
  </si>
  <si>
    <t xml:space="preserve">DIA 1 </t>
  </si>
  <si>
    <t>Errei na Interpretação</t>
  </si>
  <si>
    <t xml:space="preserve">GRÁFICOS DE DESEMPENHO </t>
  </si>
  <si>
    <t>DIA 2</t>
  </si>
  <si>
    <t>Faltou Conteúdo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</si>
  <si>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</si>
  <si>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</si>
  <si>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</si>
  <si>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</si>
  <si>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</si>
  <si>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</si>
  <si>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</si>
  <si>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</si>
  <si>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</si>
  <si>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</si>
  <si>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</si>
  <si>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</si>
  <si>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</si>
  <si>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</si>
  <si>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</si>
  <si>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</si>
  <si>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</si>
  <si>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fiz depressa</t>
  </si>
  <si>
    <t>DIA 20</t>
  </si>
  <si>
    <t>faltou conteúdo</t>
  </si>
  <si>
    <t>DIA 21</t>
  </si>
  <si>
    <t>errei na interpretação</t>
  </si>
  <si>
    <t>DIA 22</t>
  </si>
  <si>
    <t>DIA 23</t>
  </si>
  <si>
    <t>DIA 24</t>
  </si>
  <si>
    <t>DIA 25</t>
  </si>
  <si>
    <t>DIA 26</t>
  </si>
  <si>
    <t>DIA 27</t>
  </si>
  <si>
    <t>feitas</t>
  </si>
  <si>
    <t>DIA 28</t>
  </si>
  <si>
    <t>erradas</t>
  </si>
  <si>
    <t>DIA 29</t>
  </si>
  <si>
    <t>certas</t>
  </si>
  <si>
    <t>DIA 30</t>
  </si>
  <si>
    <t>Fiz Depressa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</si>
</sst>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434343"/>
      <name val="Arial"/>
      <scheme val="minor"/>
    </font>
    <font>
      <sz val="24.0"/>
      <color rgb="FFF3F3F3"/>
      <name val="Impact"/>
    </font>
    <font>
      <b/>
      <sz val="20.0"/>
      <color rgb="FFCCCCCC"/>
      <name val="Roboto"/>
    </font>
    <font>
      <color rgb="FF434343"/>
      <name val="Impact"/>
    </font>
    <font>
      <color theme="1"/>
      <name val="Arial"/>
      <scheme val="minor"/>
    </font>
    <font>
      <b/>
      <sz val="15.0"/>
      <color rgb="FFFFFFFF"/>
      <name val="Roboto"/>
    </font>
    <font>
      <b/>
      <color rgb="FFFFFFFF"/>
      <name val="Roboto"/>
    </font>
    <font>
      <b/>
      <color rgb="FF434343"/>
      <name val="Roboto"/>
    </font>
    <font>
      <color rgb="FFFFFFFF"/>
      <name val="Arial"/>
      <scheme val="minor"/>
    </font>
    <font>
      <b/>
      <color rgb="FFFFFFFF"/>
      <name val="Lexend"/>
    </font>
    <font>
      <sz val="30.0"/>
      <color rgb="FFFFFFFF"/>
      <name val="Impact"/>
    </font>
    <font/>
    <font>
      <sz val="16.0"/>
      <color rgb="FF999999"/>
      <name val="Lexend"/>
    </font>
    <font>
      <sz val="7.0"/>
      <color rgb="FF434343"/>
      <name val="Arial"/>
    </font>
    <font>
      <sz val="1.0"/>
      <color rgb="FF434343"/>
      <name val="Menlo"/>
    </font>
    <font>
      <sz val="12.0"/>
      <color rgb="FF434343"/>
      <name val="Arial"/>
      <scheme val="minor"/>
    </font>
    <font>
      <sz val="1.0"/>
      <color rgb="FF434343"/>
      <name val="Arial"/>
      <scheme val="minor"/>
    </font>
    <font>
      <sz val="1.0"/>
      <color rgb="FF434343"/>
      <name val="Arial"/>
    </font>
    <font>
      <sz val="16.0"/>
      <color theme="1"/>
      <name val="Lexend"/>
    </font>
    <font>
      <color rgb="FFFFFFFF"/>
      <name val="Courier New"/>
    </font>
    <font>
      <b/>
      <color rgb="FFFFFFFF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356854"/>
        <bgColor rgb="FF356854"/>
      </patternFill>
    </fill>
  </fills>
  <borders count="13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2" fontId="2" numFmtId="0" xfId="0" applyAlignment="1" applyBorder="1" applyFont="1">
      <alignment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2" fillId="2" fontId="4" numFmtId="0" xfId="0" applyBorder="1" applyFont="1"/>
    <xf borderId="0" fillId="2" fontId="5" numFmtId="0" xfId="0" applyFont="1"/>
    <xf borderId="1" fillId="2" fontId="4" numFmtId="0" xfId="0" applyBorder="1" applyFont="1"/>
    <xf borderId="1" fillId="2" fontId="6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7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 readingOrder="0" shrinkToFit="0" vertical="center" wrapText="0"/>
    </xf>
    <xf borderId="3" fillId="3" fontId="10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 readingOrder="0" vertical="top"/>
    </xf>
    <xf borderId="5" fillId="0" fontId="12" numFmtId="0" xfId="0" applyBorder="1" applyFont="1"/>
    <xf borderId="6" fillId="0" fontId="12" numFmtId="0" xfId="0" applyBorder="1" applyFont="1"/>
    <xf borderId="7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8" fillId="2" fontId="9" numFmtId="0" xfId="0" applyAlignment="1" applyBorder="1" applyFont="1">
      <alignment horizontal="center" readingOrder="0" shrinkToFit="0" vertical="center" wrapText="0"/>
    </xf>
    <xf borderId="7" fillId="2" fontId="5" numFmtId="0" xfId="0" applyAlignment="1" applyBorder="1" applyFont="1">
      <alignment horizontal="center"/>
    </xf>
    <xf borderId="9" fillId="2" fontId="13" numFmtId="0" xfId="0" applyAlignment="1" applyBorder="1" applyFont="1">
      <alignment horizontal="center" readingOrder="0"/>
    </xf>
    <xf borderId="10" fillId="0" fontId="12" numFmtId="0" xfId="0" applyBorder="1" applyFont="1"/>
    <xf borderId="11" fillId="0" fontId="12" numFmtId="0" xfId="0" applyBorder="1" applyFont="1"/>
    <xf borderId="1" fillId="2" fontId="1" numFmtId="9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 readingOrder="0"/>
    </xf>
    <xf borderId="8" fillId="2" fontId="9" numFmtId="0" xfId="0" applyAlignment="1" applyBorder="1" applyFont="1">
      <alignment horizontal="center" shrinkToFit="0" vertical="center" wrapText="0"/>
    </xf>
    <xf borderId="1" fillId="2" fontId="14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/>
    </xf>
    <xf borderId="1" fillId="2" fontId="16" numFmtId="0" xfId="0" applyAlignment="1" applyBorder="1" applyFont="1">
      <alignment horizontal="center"/>
    </xf>
    <xf borderId="1" fillId="2" fontId="17" numFmtId="0" xfId="0" applyAlignment="1" applyBorder="1" applyFont="1">
      <alignment horizontal="center"/>
    </xf>
    <xf borderId="12" fillId="2" fontId="5" numFmtId="0" xfId="0" applyAlignment="1" applyBorder="1" applyFont="1">
      <alignment horizontal="center"/>
    </xf>
    <xf borderId="12" fillId="2" fontId="9" numFmtId="0" xfId="0" applyAlignment="1" applyBorder="1" applyFont="1">
      <alignment horizontal="center"/>
    </xf>
    <xf borderId="1" fillId="2" fontId="5" numFmtId="10" xfId="0" applyAlignment="1" applyBorder="1" applyFont="1" applyNumberFormat="1">
      <alignment horizontal="center"/>
    </xf>
    <xf borderId="3" fillId="2" fontId="9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8" fillId="2" fontId="5" numFmtId="0" xfId="0" applyAlignment="1" applyBorder="1" applyFont="1">
      <alignment horizontal="center" readingOrder="0" shrinkToFit="0" vertical="center" wrapText="0"/>
    </xf>
    <xf borderId="8" fillId="2" fontId="10" numFmtId="0" xfId="0" applyAlignment="1" applyBorder="1" applyFont="1">
      <alignment horizontal="center" readingOrder="0" shrinkToFit="0" vertical="center" wrapText="0"/>
    </xf>
    <xf borderId="7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1" fillId="2" fontId="18" numFmtId="0" xfId="0" applyAlignment="1" applyBorder="1" applyFont="1">
      <alignment horizontal="center" vertical="bottom"/>
    </xf>
    <xf borderId="8" fillId="2" fontId="9" numFmtId="0" xfId="0" applyAlignment="1" applyBorder="1" applyFont="1">
      <alignment horizontal="center" readingOrder="0" shrinkToFit="0" vertical="center" wrapText="0"/>
    </xf>
    <xf borderId="9" fillId="2" fontId="19" numFmtId="0" xfId="0" applyAlignment="1" applyBorder="1" applyFont="1">
      <alignment horizontal="center" readingOrder="0"/>
    </xf>
    <xf borderId="1" fillId="2" fontId="20" numFmtId="0" xfId="0" applyAlignment="1" applyBorder="1" applyFont="1">
      <alignment horizontal="center"/>
    </xf>
    <xf borderId="3" fillId="2" fontId="20" numFmtId="0" xfId="0" applyAlignment="1" applyBorder="1" applyFont="1">
      <alignment horizontal="center"/>
    </xf>
    <xf borderId="8" fillId="2" fontId="20" numFmtId="0" xfId="0" applyAlignment="1" applyBorder="1" applyFont="1">
      <alignment horizontal="center" readingOrder="0" shrinkToFit="0" vertical="center" wrapText="0"/>
    </xf>
    <xf borderId="8" fillId="2" fontId="21" numFmtId="0" xfId="0" applyAlignment="1" applyBorder="1" applyFont="1">
      <alignment horizontal="center" readingOrder="0" shrinkToFit="0" vertical="center" wrapText="0"/>
    </xf>
    <xf borderId="8" fillId="2" fontId="20" numFmtId="0" xfId="0" applyAlignment="1" applyBorder="1" applyFont="1">
      <alignment horizontal="center" readingOrder="0" shrinkToFit="0" vertical="center" wrapText="0"/>
    </xf>
    <xf borderId="8" fillId="2" fontId="20" numFmtId="0" xfId="0" applyAlignment="1" applyBorder="1" applyFont="1">
      <alignment horizontal="center" shrinkToFit="0" vertical="center" wrapText="0"/>
    </xf>
    <xf borderId="12" fillId="2" fontId="20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M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Certas e Erradas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'QUADRO GERAL'!$C$3:$D$3</c:f>
            </c:strRef>
          </c:cat>
          <c:val>
            <c:numRef>
              <c:f>'QUADRO GERAL'!$C$4:$D$4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Por que errei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'QUADRO GERAL'!$B$8:$B$10</c:f>
            </c:strRef>
          </c:cat>
          <c:val>
            <c:numRef>
              <c:f>'QUADRO GERAL'!$C$8:$C$10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MAT!$H$31:$H$32</c:f>
            </c:strRef>
          </c:cat>
          <c:val>
            <c:numRef>
              <c:f>MAT!$I$31:$I$32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MAT!$G$22:$G$24</c:f>
            </c:strRef>
          </c:cat>
          <c:val>
            <c:numRef>
              <c:f>MAT!$H$22:$H$24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LING!$H$31:$H$32</c:f>
            </c:strRef>
          </c:cat>
          <c:val>
            <c:numRef>
              <c:f>LING!$I$31:$I$32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LING!$G$22:$G$24</c:f>
            </c:strRef>
          </c:cat>
          <c:val>
            <c:numRef>
              <c:f>LING!$H$22:$H$24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FIS!$H$31:$H$32</c:f>
            </c:strRef>
          </c:cat>
          <c:val>
            <c:numRef>
              <c:f>FIS!$I$31:$I$32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FIS!$G$22:$G$24</c:f>
            </c:strRef>
          </c:cat>
          <c:val>
            <c:numRef>
              <c:f>FIS!$H$22:$H$24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QUI!$H$31:$H$32</c:f>
            </c:strRef>
          </c:cat>
          <c:val>
            <c:numRef>
              <c:f>QUI!$I$31:$I$32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QUI!$G$22:$G$24</c:f>
            </c:strRef>
          </c:cat>
          <c:val>
            <c:numRef>
              <c:f>QUI!$H$22:$H$24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BIO!$H$31:$H$32</c:f>
            </c:strRef>
          </c:cat>
          <c:val>
            <c:numRef>
              <c:f>BIO!$I$31:$I$32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BIO!$G$22:$G$24</c:f>
            </c:strRef>
          </c:cat>
          <c:val>
            <c:numRef>
              <c:f>BIO!$H$22:$H$24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HIS!$H$31:$H$32</c:f>
            </c:strRef>
          </c:cat>
          <c:val>
            <c:numRef>
              <c:f>HIS!$I$31:$I$32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HIS!$G$22:$G$24</c:f>
            </c:strRef>
          </c:cat>
          <c:val>
            <c:numRef>
              <c:f>HIS!$H$22:$H$24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GEO!$H$31:$H$32</c:f>
            </c:strRef>
          </c:cat>
          <c:val>
            <c:numRef>
              <c:f>GEO!$I$31:$I$32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GEO!$G$22:$G$24</c:f>
            </c:strRef>
          </c:cat>
          <c:val>
            <c:numRef>
              <c:f>GEO!$H$22:$H$24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SOCIO!$H$31:$H$32</c:f>
            </c:strRef>
          </c:cat>
          <c:val>
            <c:numRef>
              <c:f>SOCIO!$I$31:$I$32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SOCIO!$G$22:$G$24</c:f>
            </c:strRef>
          </c:cat>
          <c:val>
            <c:numRef>
              <c:f>SOCIO!$H$22:$H$24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Certas e Erradas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FIL!$H$31:$H$32</c:f>
            </c:strRef>
          </c:cat>
          <c:val>
            <c:numRef>
              <c:f>FIL!$I$31:$I$32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Motivo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FIL!$G$22:$G$24</c:f>
            </c:strRef>
          </c:cat>
          <c:val>
            <c:numRef>
              <c:f>FIL!$H$22:$H$24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Chart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Chart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Chart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image" Target="../media/Chart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image" Target="../media/Chart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image" Target="../media/Chart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image" Target="../media/Chart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image" Target="../media/Chart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image" Target="../media/Chart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3</xdr:row>
      <xdr:rowOff>47625</xdr:rowOff>
    </xdr:from>
    <xdr:ext cx="4686300" cy="2886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685800</xdr:colOff>
      <xdr:row>16</xdr:row>
      <xdr:rowOff>238125</xdr:rowOff>
    </xdr:from>
    <xdr:ext cx="4686300" cy="28860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381000</xdr:colOff>
      <xdr:row>3</xdr:row>
      <xdr:rowOff>342900</xdr:rowOff>
    </xdr:from>
    <xdr:ext cx="200025" cy="419100"/>
    <xdr:sp>
      <xdr:nvSpPr>
        <xdr:cNvPr id="3" name="Shape 3"/>
        <xdr:cNvSpPr/>
      </xdr:nvSpPr>
      <xdr:spPr>
        <a:xfrm>
          <a:off x="2313300" y="810300"/>
          <a:ext cx="347700" cy="235200"/>
        </a:xfrm>
        <a:prstGeom prst="down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4</xdr:row>
      <xdr:rowOff>114300</xdr:rowOff>
    </xdr:from>
    <xdr:ext cx="3981450" cy="24765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857250</xdr:colOff>
      <xdr:row>13</xdr:row>
      <xdr:rowOff>133350</xdr:rowOff>
    </xdr:from>
    <xdr:ext cx="3981450" cy="24765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857250</xdr:colOff>
      <xdr:row>22</xdr:row>
      <xdr:rowOff>152400</xdr:rowOff>
    </xdr:from>
    <xdr:ext cx="3981450" cy="2476500"/>
    <xdr:pic>
      <xdr:nvPicPr>
        <xdr:cNvPr id="240023630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185612666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1647820438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1340418865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363509983" name="Chart1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241972962" name="Chart2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122017594" name="Chart2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917872988" name="Chart2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4</xdr:row>
      <xdr:rowOff>114300</xdr:rowOff>
    </xdr:from>
    <xdr:ext cx="3981450" cy="247650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13</xdr:row>
      <xdr:rowOff>133350</xdr:rowOff>
    </xdr:from>
    <xdr:ext cx="3981450" cy="247650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923925</xdr:colOff>
      <xdr:row>22</xdr:row>
      <xdr:rowOff>152400</xdr:rowOff>
    </xdr:from>
    <xdr:ext cx="3981450" cy="2476500"/>
    <xdr:pic>
      <xdr:nvPicPr>
        <xdr:cNvPr id="382633557" name="Chart2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33" displayName="mat" name="mat" id="1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MAT-style" showColumnStripes="0" showFirstColumn="1" showLastColumn="1" showRowStripes="1"/>
</table>
</file>

<file path=xl/tables/table2.xml><?xml version="1.0" encoding="utf-8"?>
<table xmlns="http://schemas.openxmlformats.org/spreadsheetml/2006/main" ref="B3:E33" displayName="ling" name="ling" id="2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LING-style" showColumnStripes="0" showFirstColumn="1" showLastColumn="1" showRowStripes="1"/>
</table>
</file>

<file path=xl/tables/table3.xml><?xml version="1.0" encoding="utf-8"?>
<table xmlns="http://schemas.openxmlformats.org/spreadsheetml/2006/main" ref="B3:E33" displayName="fis" name="fis" id="3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FIS-style" showColumnStripes="0" showFirstColumn="1" showLastColumn="1" showRowStripes="1"/>
</table>
</file>

<file path=xl/tables/table4.xml><?xml version="1.0" encoding="utf-8"?>
<table xmlns="http://schemas.openxmlformats.org/spreadsheetml/2006/main" ref="B3:E33" displayName="qui" name="qui" id="4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QUI-style" showColumnStripes="0" showFirstColumn="1" showLastColumn="1" showRowStripes="1"/>
</table>
</file>

<file path=xl/tables/table5.xml><?xml version="1.0" encoding="utf-8"?>
<table xmlns="http://schemas.openxmlformats.org/spreadsheetml/2006/main" ref="B3:E33" displayName="bio" name="bio" id="5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BIO-style" showColumnStripes="0" showFirstColumn="1" showLastColumn="1" showRowStripes="1"/>
</table>
</file>

<file path=xl/tables/table6.xml><?xml version="1.0" encoding="utf-8"?>
<table xmlns="http://schemas.openxmlformats.org/spreadsheetml/2006/main" ref="B3:E33" displayName="his" name="his" id="6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HIS-style" showColumnStripes="0" showFirstColumn="1" showLastColumn="1" showRowStripes="1"/>
</table>
</file>

<file path=xl/tables/table7.xml><?xml version="1.0" encoding="utf-8"?>
<table xmlns="http://schemas.openxmlformats.org/spreadsheetml/2006/main" ref="B3:E33" displayName="geo" name="geo" id="7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GEO-style" showColumnStripes="0" showFirstColumn="1" showLastColumn="1" showRowStripes="1"/>
</table>
</file>

<file path=xl/tables/table8.xml><?xml version="1.0" encoding="utf-8"?>
<table xmlns="http://schemas.openxmlformats.org/spreadsheetml/2006/main" ref="B3:E33" displayName="socio" name="socio" id="8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SOCIO-style" showColumnStripes="0" showFirstColumn="1" showLastColumn="1" showRowStripes="1"/>
</table>
</file>

<file path=xl/tables/table9.xml><?xml version="1.0" encoding="utf-8"?>
<table xmlns="http://schemas.openxmlformats.org/spreadsheetml/2006/main" ref="B3:E33" displayName="filo" name="filo" id="9">
  <tableColumns count="4">
    <tableColumn name="Coluna 1" id="1"/>
    <tableColumn name="Nº DE QUESTÕES_x000a_RESPONDIDAS" id="2"/>
    <tableColumn name="Nº DE QUESTÕES _x000a_ERRADAS" id="3"/>
    <tableColumn name="MOTIVO QUE MAIS _x000a_LEVOU AO ERRO" id="4"/>
  </tableColumns>
  <tableStyleInfo name="F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"/>
      <c r="B1" s="1"/>
      <c r="C1" s="1"/>
      <c r="D1" s="1"/>
      <c r="E1" s="1"/>
      <c r="F1" s="2"/>
      <c r="G1" s="1"/>
      <c r="H1" s="1"/>
    </row>
    <row r="2">
      <c r="A2" s="1"/>
      <c r="B2" s="3" t="s">
        <v>0</v>
      </c>
      <c r="C2" s="4"/>
      <c r="D2" s="4"/>
      <c r="E2" s="1"/>
      <c r="F2" s="2"/>
      <c r="G2" s="1"/>
      <c r="H2" s="1"/>
    </row>
    <row r="3">
      <c r="A3" s="1"/>
      <c r="B3" s="5" t="s">
        <v>1</v>
      </c>
      <c r="C3" s="5" t="s">
        <v>2</v>
      </c>
      <c r="D3" s="6" t="s">
        <v>3</v>
      </c>
      <c r="E3" s="1"/>
      <c r="F3" s="2"/>
      <c r="G3" s="1"/>
      <c r="H3" s="1"/>
    </row>
    <row r="4">
      <c r="A4" s="1"/>
      <c r="B4" s="7">
        <f>SUM(mat[Nº DE QUESTÕES
RESPONDIDAS],ling[Nº DE QUESTÕES
RESPONDIDAS],fis[Nº DE QUESTÕES
RESPONDIDAS],qui[Nº DE QUESTÕES
RESPONDIDAS],his[Nº DE QUESTÕES
RESPONDIDAS],geo[Nº DE QUESTÕES
RESPONDIDAS],socio[Nº DE QUESTÕES
RESPONDIDAS],filo[Nº DE QUESTÕES
RESPONDIDAS],bio[Nº DE QUESTÕES
RESPONDIDAS])</f>
        <v>141</v>
      </c>
      <c r="C4" s="7">
        <f>SUM(mat[Nº DE QUESTÕES 
ERRADAS],ling[Nº DE QUESTÕES 
ERRADAS],fis[Nº DE QUESTÕES 
ERRADAS],qui[Nº DE QUESTÕES 
ERRADAS],his[Nº DE QUESTÕES 
ERRADAS],geo[Nº DE QUESTÕES 
ERRADAS],socio[Nº DE QUESTÕES 
ERRADAS],filo[Nº DE QUESTÕES 
ERRADAS],bio[Nº DE QUESTÕES 
ERRADAS])</f>
        <v>58</v>
      </c>
      <c r="D4" s="4">
        <f>B4-C4</f>
        <v>83</v>
      </c>
      <c r="E4" s="1"/>
      <c r="F4" s="2"/>
      <c r="G4" s="8" t="s">
        <v>4</v>
      </c>
      <c r="H4" s="1"/>
    </row>
    <row r="5">
      <c r="A5" s="1"/>
      <c r="B5" s="1"/>
      <c r="C5" s="1"/>
      <c r="D5" s="1"/>
      <c r="E5" s="1"/>
      <c r="F5" s="9"/>
      <c r="G5" s="10"/>
      <c r="H5" s="11"/>
    </row>
    <row r="6">
      <c r="A6" s="1"/>
      <c r="B6" s="1"/>
      <c r="C6" s="1"/>
      <c r="D6" s="1"/>
      <c r="E6" s="1"/>
      <c r="F6" s="2"/>
      <c r="G6" s="10"/>
      <c r="H6" s="1"/>
    </row>
    <row r="7">
      <c r="A7" s="1"/>
      <c r="B7" s="1"/>
      <c r="C7" s="1"/>
      <c r="D7" s="1"/>
      <c r="E7" s="1"/>
      <c r="F7" s="2"/>
      <c r="G7" s="12" t="s">
        <v>5</v>
      </c>
      <c r="H7" s="1"/>
    </row>
    <row r="8">
      <c r="A8" s="1"/>
      <c r="B8" s="13" t="s">
        <v>6</v>
      </c>
      <c r="C8" s="1">
        <f>SUM(MAT!H24,LING!H24,FIS!H24,QUI!H24,BIO!H22,HIS!H24,GEO!H24,SOCIO!H24,FIL!H24)</f>
        <v>7</v>
      </c>
      <c r="D8" s="1"/>
      <c r="E8" s="1"/>
      <c r="F8" s="2"/>
      <c r="G8" s="14"/>
      <c r="H8" s="1"/>
    </row>
    <row r="9">
      <c r="A9" s="1"/>
      <c r="B9" s="13" t="s">
        <v>7</v>
      </c>
      <c r="C9" s="1">
        <f>SUM(MAT!H23,LING!H23,FIS!H23,QUI!H23,BIO!H23,HIS!H23,GEO!H23,SOCIO!H23,FIL!H23)</f>
        <v>1</v>
      </c>
      <c r="D9" s="1"/>
      <c r="E9" s="1"/>
      <c r="F9" s="2"/>
      <c r="G9" s="12" t="s">
        <v>8</v>
      </c>
      <c r="H9" s="1"/>
    </row>
    <row r="10">
      <c r="A10" s="1"/>
      <c r="B10" s="13" t="s">
        <v>9</v>
      </c>
      <c r="C10" s="1">
        <f>SUM(MAT!H22,LING!H22,FIS!H22,QUI!H22,BIO!H22,HIS!H22,GEO!H22,SOCIO!H22,FIL!H22)</f>
        <v>2</v>
      </c>
      <c r="D10" s="1"/>
      <c r="E10" s="1"/>
      <c r="F10" s="2"/>
      <c r="G10" s="14"/>
      <c r="H10" s="1"/>
    </row>
    <row r="11">
      <c r="A11" s="1"/>
      <c r="B11" s="1"/>
      <c r="C11" s="1"/>
      <c r="D11" s="1"/>
      <c r="E11" s="1"/>
      <c r="F11" s="2"/>
      <c r="G11" s="12" t="s">
        <v>10</v>
      </c>
      <c r="H11" s="1"/>
    </row>
    <row r="12">
      <c r="A12" s="1"/>
      <c r="B12" s="1"/>
      <c r="C12" s="1"/>
      <c r="D12" s="1"/>
      <c r="E12" s="1"/>
      <c r="F12" s="2"/>
      <c r="G12" s="14"/>
      <c r="H12" s="1"/>
    </row>
    <row r="13">
      <c r="A13" s="1"/>
      <c r="B13" s="1"/>
      <c r="C13" s="1"/>
      <c r="D13" s="1"/>
      <c r="E13" s="1"/>
      <c r="F13" s="2"/>
      <c r="G13" s="12" t="s">
        <v>11</v>
      </c>
      <c r="H13" s="1"/>
    </row>
    <row r="14">
      <c r="A14" s="1"/>
      <c r="B14" s="1"/>
      <c r="C14" s="1"/>
      <c r="D14" s="1"/>
      <c r="E14" s="1"/>
      <c r="F14" s="2"/>
      <c r="G14" s="14"/>
      <c r="H14" s="1"/>
    </row>
    <row r="15">
      <c r="A15" s="1"/>
      <c r="B15" s="1"/>
      <c r="C15" s="1"/>
      <c r="D15" s="1"/>
      <c r="E15" s="1"/>
      <c r="F15" s="2"/>
      <c r="G15" s="12" t="s">
        <v>12</v>
      </c>
      <c r="H15" s="1"/>
    </row>
    <row r="16">
      <c r="A16" s="1"/>
      <c r="B16" s="1"/>
      <c r="C16" s="1"/>
      <c r="D16" s="1"/>
      <c r="E16" s="1"/>
      <c r="F16" s="2"/>
      <c r="G16" s="14"/>
      <c r="H16" s="1"/>
    </row>
    <row r="17">
      <c r="A17" s="1"/>
      <c r="B17" s="1"/>
      <c r="C17" s="1"/>
      <c r="D17" s="1"/>
      <c r="E17" s="1"/>
      <c r="F17" s="2"/>
      <c r="G17" s="12" t="s">
        <v>13</v>
      </c>
      <c r="H17" s="1"/>
    </row>
    <row r="18">
      <c r="A18" s="1"/>
      <c r="B18" s="1"/>
      <c r="C18" s="1"/>
      <c r="D18" s="1"/>
      <c r="E18" s="1"/>
      <c r="F18" s="2"/>
      <c r="G18" s="14"/>
      <c r="H18" s="1"/>
    </row>
    <row r="19">
      <c r="A19" s="1"/>
      <c r="B19" s="1"/>
      <c r="C19" s="1"/>
      <c r="D19" s="1"/>
      <c r="E19" s="1"/>
      <c r="F19" s="2"/>
      <c r="G19" s="12" t="s">
        <v>14</v>
      </c>
      <c r="H19" s="1"/>
    </row>
    <row r="20">
      <c r="A20" s="1"/>
      <c r="B20" s="1"/>
      <c r="C20" s="1"/>
      <c r="D20" s="1"/>
      <c r="E20" s="1"/>
      <c r="F20" s="2"/>
      <c r="G20" s="14"/>
      <c r="H20" s="1"/>
    </row>
    <row r="21">
      <c r="A21" s="1"/>
      <c r="B21" s="1"/>
      <c r="C21" s="1"/>
      <c r="D21" s="1"/>
      <c r="E21" s="1"/>
      <c r="F21" s="2"/>
      <c r="G21" s="12" t="s">
        <v>15</v>
      </c>
      <c r="H21" s="1"/>
    </row>
    <row r="22">
      <c r="A22" s="1"/>
      <c r="B22" s="1"/>
      <c r="C22" s="1"/>
      <c r="D22" s="1"/>
      <c r="E22" s="1"/>
      <c r="F22" s="2"/>
      <c r="G22" s="14"/>
      <c r="H22" s="1"/>
    </row>
    <row r="23">
      <c r="A23" s="1"/>
      <c r="B23" s="1"/>
      <c r="C23" s="1"/>
      <c r="D23" s="1"/>
      <c r="E23" s="1"/>
      <c r="F23" s="2"/>
      <c r="G23" s="12" t="s">
        <v>16</v>
      </c>
      <c r="H23" s="1"/>
    </row>
    <row r="24">
      <c r="A24" s="1"/>
      <c r="B24" s="1"/>
      <c r="C24" s="1"/>
      <c r="D24" s="1"/>
      <c r="E24" s="1"/>
      <c r="F24" s="2"/>
      <c r="G24" s="15"/>
      <c r="H24" s="1"/>
    </row>
    <row r="25">
      <c r="A25" s="1"/>
      <c r="B25" s="1"/>
      <c r="C25" s="1"/>
      <c r="D25" s="1"/>
      <c r="E25" s="1"/>
      <c r="F25" s="2"/>
      <c r="G25" s="1"/>
      <c r="H25" s="1"/>
    </row>
    <row r="26">
      <c r="A26" s="1"/>
      <c r="B26" s="1"/>
      <c r="C26" s="1"/>
      <c r="D26" s="1"/>
      <c r="E26" s="1"/>
      <c r="F26" s="2"/>
      <c r="G26" s="1"/>
      <c r="H26" s="1"/>
    </row>
    <row r="27">
      <c r="A27" s="1"/>
      <c r="B27" s="1"/>
      <c r="C27" s="1"/>
      <c r="D27" s="1"/>
      <c r="E27" s="1"/>
      <c r="F27" s="2"/>
      <c r="G27" s="1"/>
      <c r="H27" s="1"/>
    </row>
    <row r="28">
      <c r="A28" s="1"/>
      <c r="B28" s="1"/>
      <c r="C28" s="1"/>
      <c r="D28" s="1"/>
      <c r="E28" s="1"/>
      <c r="F28" s="2"/>
      <c r="G28" s="1"/>
      <c r="H28" s="1"/>
    </row>
    <row r="29">
      <c r="A29" s="1"/>
      <c r="B29" s="1"/>
      <c r="C29" s="1"/>
      <c r="D29" s="1"/>
      <c r="E29" s="1"/>
      <c r="F29" s="2"/>
      <c r="G29" s="1"/>
      <c r="H29" s="1"/>
    </row>
    <row r="30">
      <c r="A30" s="1"/>
      <c r="B30" s="1"/>
      <c r="C30" s="1"/>
      <c r="D30" s="1"/>
      <c r="E30" s="1"/>
      <c r="F30" s="2"/>
      <c r="G30" s="1"/>
      <c r="H30" s="1"/>
    </row>
    <row r="31">
      <c r="A31" s="1"/>
      <c r="B31" s="1"/>
      <c r="C31" s="1"/>
      <c r="D31" s="1"/>
      <c r="E31" s="1"/>
      <c r="F31" s="2"/>
      <c r="G31" s="1"/>
      <c r="H31" s="1"/>
    </row>
    <row r="32">
      <c r="A32" s="1"/>
      <c r="B32" s="1"/>
      <c r="C32" s="1"/>
      <c r="D32" s="1"/>
      <c r="E32" s="1"/>
      <c r="F32" s="2"/>
      <c r="G32" s="1"/>
      <c r="H32" s="1"/>
    </row>
    <row r="33">
      <c r="A33" s="1"/>
      <c r="B33" s="1"/>
      <c r="C33" s="1"/>
      <c r="D33" s="1"/>
      <c r="E33" s="1"/>
      <c r="F33" s="2"/>
      <c r="G33" s="1"/>
      <c r="H33" s="1"/>
    </row>
    <row r="34">
      <c r="A34" s="1"/>
      <c r="B34" s="1"/>
      <c r="C34" s="1"/>
      <c r="D34" s="1"/>
      <c r="E34" s="1"/>
      <c r="F34" s="2"/>
      <c r="G34" s="1"/>
      <c r="H34" s="1"/>
    </row>
    <row r="35">
      <c r="A35" s="1"/>
      <c r="B35" s="1"/>
      <c r="C35" s="1"/>
      <c r="D35" s="1"/>
      <c r="E35" s="1"/>
      <c r="F35" s="2"/>
      <c r="G35" s="1"/>
      <c r="H35" s="1"/>
    </row>
    <row r="36">
      <c r="A36" s="1"/>
      <c r="B36" s="1"/>
      <c r="C36" s="1"/>
      <c r="D36" s="1"/>
      <c r="E36" s="1"/>
      <c r="F36" s="2"/>
      <c r="G36" s="1"/>
      <c r="H36" s="1"/>
    </row>
    <row r="37">
      <c r="A37" s="1"/>
      <c r="B37" s="1"/>
      <c r="C37" s="1"/>
      <c r="D37" s="1"/>
      <c r="E37" s="1"/>
      <c r="F37" s="2"/>
      <c r="G37" s="1"/>
      <c r="H37" s="1"/>
    </row>
    <row r="38">
      <c r="A38" s="1"/>
      <c r="B38" s="1"/>
      <c r="C38" s="1"/>
      <c r="D38" s="1"/>
      <c r="E38" s="1"/>
      <c r="F38" s="2"/>
      <c r="G38" s="1"/>
      <c r="H38" s="1"/>
    </row>
    <row r="39">
      <c r="A39" s="1"/>
      <c r="B39" s="1"/>
      <c r="C39" s="1"/>
      <c r="D39" s="1"/>
      <c r="E39" s="1"/>
      <c r="F39" s="2"/>
      <c r="G39" s="1"/>
      <c r="H39" s="1"/>
    </row>
  </sheetData>
  <hyperlinks>
    <hyperlink display="MATEMÁTICA" location="MAT!A1" ref="G7"/>
    <hyperlink display="LINGUAGENS" location="LING!A1" ref="G9"/>
    <hyperlink display="FÍSICA" location="FIS!A1" ref="G11"/>
    <hyperlink display="QUÍMICA" location="QUI!A1" ref="G13"/>
    <hyperlink display="BIOLOGIA" location="BIO!A1" ref="G15"/>
    <hyperlink display="HISTÓRIA" location="HIS!A1" ref="G17"/>
    <hyperlink display="GEOGRAFIA" location="GEO!A1" ref="G19"/>
    <hyperlink display="SOCIOLOGIA" location="SOCIO!A1" ref="G21"/>
    <hyperlink display="FILOSOFIA" location="FIL!A1" ref="G2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4" width="20.25"/>
    <col customWidth="1" min="5" max="5" width="23.13"/>
    <col customWidth="1" min="13" max="13" width="11.0"/>
  </cols>
  <sheetData>
    <row r="1">
      <c r="A1" s="16"/>
      <c r="B1" s="16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16"/>
      <c r="C2" s="17"/>
      <c r="D2" s="17"/>
      <c r="E2" s="17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16"/>
      <c r="B3" s="21" t="s">
        <v>17</v>
      </c>
      <c r="C3" s="22" t="s">
        <v>18</v>
      </c>
      <c r="D3" s="22" t="s">
        <v>19</v>
      </c>
      <c r="E3" s="22" t="s">
        <v>20</v>
      </c>
      <c r="F3" s="16"/>
      <c r="G3" s="16"/>
      <c r="H3" s="23"/>
      <c r="I3" s="24" t="s">
        <v>5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>
        <v>10.0</v>
      </c>
      <c r="D4" s="29">
        <v>6.0</v>
      </c>
      <c r="E4" s="29" t="s">
        <v>24</v>
      </c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>
        <f t="shared" ref="N4:N33" si="1">(D4*100%)/C4</f>
        <v>0.6</v>
      </c>
    </row>
    <row r="5" ht="22.5" customHeight="1">
      <c r="A5" s="23"/>
      <c r="B5" s="29" t="s">
        <v>26</v>
      </c>
      <c r="C5" s="29">
        <v>7.0</v>
      </c>
      <c r="D5" s="29">
        <v>3.0</v>
      </c>
      <c r="E5" s="29" t="s">
        <v>27</v>
      </c>
      <c r="F5" s="30"/>
      <c r="G5" s="16"/>
      <c r="H5" s="16"/>
      <c r="I5" s="16"/>
      <c r="J5" s="16"/>
      <c r="K5" s="16"/>
      <c r="L5" s="16"/>
      <c r="M5" s="28">
        <v>2.0</v>
      </c>
      <c r="N5" s="34">
        <f t="shared" si="1"/>
        <v>0.4285714286</v>
      </c>
    </row>
    <row r="6" ht="22.5" customHeight="1">
      <c r="A6" s="23"/>
      <c r="B6" s="29" t="s">
        <v>28</v>
      </c>
      <c r="C6" s="29">
        <v>10.0</v>
      </c>
      <c r="D6" s="29">
        <v>8.0</v>
      </c>
      <c r="E6" s="29" t="s">
        <v>24</v>
      </c>
      <c r="F6" s="30"/>
      <c r="G6" s="35"/>
      <c r="H6" s="16"/>
      <c r="I6" s="16"/>
      <c r="J6" s="16"/>
      <c r="K6" s="16"/>
      <c r="L6" s="16"/>
      <c r="M6" s="28">
        <v>3.0</v>
      </c>
      <c r="N6" s="34">
        <f t="shared" si="1"/>
        <v>0.8</v>
      </c>
    </row>
    <row r="7" ht="22.5" customHeight="1">
      <c r="A7" s="23"/>
      <c r="B7" s="29" t="s">
        <v>29</v>
      </c>
      <c r="C7" s="29">
        <v>20.0</v>
      </c>
      <c r="D7" s="29">
        <v>4.0</v>
      </c>
      <c r="E7" s="29" t="s">
        <v>24</v>
      </c>
      <c r="F7" s="30"/>
      <c r="G7" s="35"/>
      <c r="H7" s="16"/>
      <c r="I7" s="16"/>
      <c r="J7" s="16"/>
      <c r="K7" s="16"/>
      <c r="L7" s="16"/>
      <c r="M7" s="28">
        <v>4.0</v>
      </c>
      <c r="N7" s="34">
        <f t="shared" si="1"/>
        <v>0.2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29"/>
      <c r="D9" s="29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29"/>
      <c r="D10" s="29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6"/>
      <c r="H21" s="16"/>
      <c r="I21" s="16"/>
      <c r="J21" s="16"/>
      <c r="K21" s="16"/>
      <c r="L21" s="16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37" t="s">
        <v>45</v>
      </c>
      <c r="H22" s="38">
        <f>COUNTIF(E4:E33, "fiz depressa")</f>
        <v>0</v>
      </c>
      <c r="I22" s="18"/>
      <c r="J22" s="16"/>
      <c r="K22" s="16"/>
      <c r="L22" s="16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37" t="s">
        <v>47</v>
      </c>
      <c r="H23" s="39">
        <f>COUNTIF(E4:E33, "faltou conteúdo")</f>
        <v>1</v>
      </c>
      <c r="I23" s="18"/>
      <c r="J23" s="16"/>
      <c r="K23" s="16"/>
      <c r="L23" s="16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37" t="s">
        <v>49</v>
      </c>
      <c r="H24" s="40">
        <f>COUNTIF(E4:E33, "errei na interpretação")</f>
        <v>3</v>
      </c>
      <c r="I24" s="18"/>
      <c r="J24" s="16"/>
      <c r="K24" s="16"/>
      <c r="L24" s="16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6"/>
      <c r="K25" s="16"/>
      <c r="L25" s="16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6"/>
      <c r="K26" s="16"/>
      <c r="L26" s="16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6"/>
      <c r="K27" s="16"/>
      <c r="L27" s="16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6"/>
      <c r="K28" s="16"/>
      <c r="L28" s="16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6"/>
      <c r="K29" s="16"/>
      <c r="L29" s="16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47</v>
      </c>
      <c r="J30" s="16"/>
      <c r="K30" s="16"/>
      <c r="L30" s="16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21</v>
      </c>
      <c r="J31" s="16"/>
      <c r="K31" s="16"/>
      <c r="L31" s="16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26</v>
      </c>
      <c r="J32" s="16"/>
      <c r="K32" s="16"/>
      <c r="L32" s="16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6"/>
      <c r="H33" s="16"/>
      <c r="I33" s="16"/>
      <c r="J33" s="16"/>
      <c r="K33" s="16"/>
      <c r="L33" s="16"/>
      <c r="M33" s="28">
        <v>30.0</v>
      </c>
      <c r="N33" s="34" t="str">
        <f t="shared" si="1"/>
        <v>#DIV/0!</v>
      </c>
    </row>
    <row r="34">
      <c r="A34" s="16"/>
      <c r="B34" s="41"/>
      <c r="C34" s="42"/>
      <c r="D34" s="42"/>
      <c r="E34" s="42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</cols>
  <sheetData>
    <row r="1">
      <c r="A1" s="16"/>
      <c r="B1" s="16"/>
      <c r="C1" s="17"/>
      <c r="D1" s="17"/>
      <c r="E1" s="17"/>
      <c r="F1" s="16"/>
      <c r="G1" s="16"/>
      <c r="H1" s="16"/>
      <c r="I1" s="16"/>
      <c r="J1" s="16"/>
      <c r="K1" s="16"/>
      <c r="L1" s="16"/>
      <c r="M1" s="16"/>
      <c r="N1" s="43"/>
    </row>
    <row r="2">
      <c r="A2" s="16"/>
      <c r="B2" s="20"/>
      <c r="C2" s="44"/>
      <c r="D2" s="44"/>
      <c r="E2" s="44"/>
      <c r="F2" s="18"/>
      <c r="G2" s="18"/>
      <c r="H2" s="18"/>
      <c r="I2" s="45"/>
      <c r="J2" s="45"/>
      <c r="K2" s="45"/>
      <c r="L2" s="45"/>
      <c r="M2" s="18"/>
      <c r="N2" s="19"/>
    </row>
    <row r="3" ht="22.5" customHeight="1">
      <c r="A3" s="23"/>
      <c r="B3" s="46" t="s">
        <v>17</v>
      </c>
      <c r="C3" s="47" t="s">
        <v>18</v>
      </c>
      <c r="D3" s="47" t="s">
        <v>19</v>
      </c>
      <c r="E3" s="47" t="s">
        <v>20</v>
      </c>
      <c r="F3" s="48"/>
      <c r="G3" s="18"/>
      <c r="H3" s="49"/>
      <c r="I3" s="24" t="s">
        <v>8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/>
      <c r="D4" s="29"/>
      <c r="E4" s="29"/>
      <c r="F4" s="48"/>
      <c r="G4" s="18"/>
      <c r="H4" s="18"/>
      <c r="I4" s="31" t="s">
        <v>25</v>
      </c>
      <c r="J4" s="32"/>
      <c r="K4" s="32"/>
      <c r="L4" s="33"/>
      <c r="M4" s="28">
        <v>1.0</v>
      </c>
      <c r="N4" s="34" t="str">
        <f t="shared" ref="N4:N33" si="1">(D4*100%)/C4</f>
        <v>#DIV/0!</v>
      </c>
    </row>
    <row r="5" ht="22.5" customHeight="1">
      <c r="A5" s="23"/>
      <c r="B5" s="29" t="s">
        <v>26</v>
      </c>
      <c r="C5" s="29"/>
      <c r="D5" s="29"/>
      <c r="E5" s="29"/>
      <c r="F5" s="48"/>
      <c r="G5" s="18"/>
      <c r="H5" s="18"/>
      <c r="I5" s="18"/>
      <c r="J5" s="18"/>
      <c r="K5" s="18"/>
      <c r="L5" s="18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48"/>
      <c r="G6" s="28"/>
      <c r="H6" s="18"/>
      <c r="I6" s="18"/>
      <c r="J6" s="18"/>
      <c r="K6" s="18"/>
      <c r="L6" s="18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48"/>
      <c r="G7" s="28"/>
      <c r="H7" s="18"/>
      <c r="I7" s="18"/>
      <c r="J7" s="18"/>
      <c r="K7" s="18"/>
      <c r="L7" s="18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48"/>
      <c r="G8" s="28"/>
      <c r="H8" s="18"/>
      <c r="I8" s="18"/>
      <c r="J8" s="18"/>
      <c r="K8" s="18"/>
      <c r="L8" s="18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29"/>
      <c r="D9" s="29"/>
      <c r="E9" s="29"/>
      <c r="F9" s="48"/>
      <c r="G9" s="18"/>
      <c r="H9" s="18"/>
      <c r="I9" s="18"/>
      <c r="J9" s="18"/>
      <c r="K9" s="18"/>
      <c r="L9" s="18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48"/>
      <c r="G10" s="18"/>
      <c r="H10" s="18"/>
      <c r="I10" s="18"/>
      <c r="J10" s="18"/>
      <c r="K10" s="18"/>
      <c r="L10" s="18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48"/>
      <c r="G11" s="18"/>
      <c r="H11" s="18"/>
      <c r="I11" s="18"/>
      <c r="J11" s="18"/>
      <c r="K11" s="18"/>
      <c r="L11" s="18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48"/>
      <c r="G12" s="18"/>
      <c r="H12" s="18"/>
      <c r="I12" s="18"/>
      <c r="J12" s="18"/>
      <c r="K12" s="18"/>
      <c r="L12" s="18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48"/>
      <c r="G13" s="18"/>
      <c r="H13" s="18"/>
      <c r="I13" s="18"/>
      <c r="J13" s="18"/>
      <c r="K13" s="18"/>
      <c r="L13" s="18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48"/>
      <c r="G14" s="18"/>
      <c r="H14" s="18"/>
      <c r="I14" s="18"/>
      <c r="J14" s="18"/>
      <c r="K14" s="18"/>
      <c r="L14" s="18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48"/>
      <c r="G15" s="18"/>
      <c r="H15" s="18"/>
      <c r="I15" s="18"/>
      <c r="J15" s="18"/>
      <c r="K15" s="18"/>
      <c r="L15" s="18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48"/>
      <c r="G16" s="18"/>
      <c r="H16" s="18"/>
      <c r="I16" s="18"/>
      <c r="J16" s="18"/>
      <c r="K16" s="18"/>
      <c r="L16" s="18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48"/>
      <c r="G17" s="18"/>
      <c r="H17" s="18"/>
      <c r="I17" s="18"/>
      <c r="J17" s="18"/>
      <c r="K17" s="18"/>
      <c r="L17" s="18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48"/>
      <c r="G18" s="18"/>
      <c r="H18" s="18"/>
      <c r="I18" s="18"/>
      <c r="J18" s="18"/>
      <c r="K18" s="18"/>
      <c r="L18" s="18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48"/>
      <c r="G19" s="18"/>
      <c r="H19" s="18"/>
      <c r="I19" s="18"/>
      <c r="J19" s="18"/>
      <c r="K19" s="18"/>
      <c r="L19" s="18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48"/>
      <c r="G20" s="18"/>
      <c r="H20" s="18"/>
      <c r="I20" s="18"/>
      <c r="J20" s="18"/>
      <c r="K20" s="18"/>
      <c r="L20" s="18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48"/>
      <c r="G21" s="18"/>
      <c r="H21" s="18"/>
      <c r="I21" s="18"/>
      <c r="J21" s="18"/>
      <c r="K21" s="18"/>
      <c r="L21" s="18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48"/>
      <c r="G22" s="50" t="s">
        <v>45</v>
      </c>
      <c r="H22" s="38">
        <f>COUNTIF(E4:E33, "fiz depressa")</f>
        <v>0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48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48"/>
      <c r="G24" s="50" t="s">
        <v>49</v>
      </c>
      <c r="H24" s="40">
        <f>COUNTIF(E4:E33, "errei na interpretação")</f>
        <v>0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48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48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48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48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48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48"/>
      <c r="G30" s="18"/>
      <c r="H30" s="28" t="s">
        <v>56</v>
      </c>
      <c r="I30" s="18">
        <f>SUM(C4:C33)</f>
        <v>0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48"/>
      <c r="G31" s="18"/>
      <c r="H31" s="28" t="s">
        <v>58</v>
      </c>
      <c r="I31" s="18">
        <f>SUM(D4:D33)</f>
        <v>0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48"/>
      <c r="G32" s="18"/>
      <c r="H32" s="28" t="s">
        <v>60</v>
      </c>
      <c r="I32" s="18">
        <f>I30-I31</f>
        <v>0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48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8"/>
      <c r="G34" s="18"/>
      <c r="H34" s="18"/>
      <c r="I34" s="18"/>
      <c r="J34" s="18"/>
      <c r="K34" s="18"/>
      <c r="L34" s="18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</cols>
  <sheetData>
    <row r="1">
      <c r="A1" s="16"/>
      <c r="B1" s="17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44"/>
      <c r="C2" s="44"/>
      <c r="D2" s="44"/>
      <c r="E2" s="4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1" t="s">
        <v>17</v>
      </c>
      <c r="C3" s="47" t="s">
        <v>18</v>
      </c>
      <c r="D3" s="47" t="s">
        <v>19</v>
      </c>
      <c r="E3" s="47" t="s">
        <v>20</v>
      </c>
      <c r="F3" s="30"/>
      <c r="G3" s="16"/>
      <c r="H3" s="23"/>
      <c r="I3" s="24" t="s">
        <v>10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>
        <v>11.0</v>
      </c>
      <c r="D4" s="29">
        <v>5.0</v>
      </c>
      <c r="E4" s="29" t="s">
        <v>24</v>
      </c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>
        <f t="shared" ref="N4:N33" si="1">(D4*100%)/C4</f>
        <v>0.4545454545</v>
      </c>
    </row>
    <row r="5" ht="22.5" customHeight="1">
      <c r="A5" s="23"/>
      <c r="B5" s="29" t="s">
        <v>26</v>
      </c>
      <c r="C5" s="29"/>
      <c r="D5" s="29"/>
      <c r="E5" s="29"/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36"/>
      <c r="D9" s="36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8"/>
      <c r="H21" s="18"/>
      <c r="I21" s="18"/>
      <c r="J21" s="18"/>
      <c r="K21" s="18"/>
      <c r="L21" s="18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50" t="s">
        <v>45</v>
      </c>
      <c r="H22" s="38">
        <f>COUNTIF(E4:E33, "fiz depressa")</f>
        <v>0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50" t="s">
        <v>49</v>
      </c>
      <c r="H24" s="40">
        <f>COUNTIF(E4:E33, "errei na interpretação")</f>
        <v>1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11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5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6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</cols>
  <sheetData>
    <row r="1">
      <c r="A1" s="16"/>
      <c r="B1" s="17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44"/>
      <c r="C2" s="44"/>
      <c r="D2" s="44"/>
      <c r="E2" s="4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1" t="s">
        <v>17</v>
      </c>
      <c r="C3" s="47" t="s">
        <v>18</v>
      </c>
      <c r="D3" s="47" t="s">
        <v>19</v>
      </c>
      <c r="E3" s="47" t="s">
        <v>20</v>
      </c>
      <c r="F3" s="30"/>
      <c r="G3" s="16"/>
      <c r="H3" s="23"/>
      <c r="I3" s="24" t="s">
        <v>11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>
        <v>40.0</v>
      </c>
      <c r="D4" s="29">
        <v>13.0</v>
      </c>
      <c r="E4" s="29" t="s">
        <v>24</v>
      </c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>
        <f t="shared" ref="N4:N33" si="1">(D4*100%)/C4</f>
        <v>0.325</v>
      </c>
    </row>
    <row r="5" ht="22.5" customHeight="1">
      <c r="A5" s="23"/>
      <c r="B5" s="29" t="s">
        <v>26</v>
      </c>
      <c r="C5" s="29"/>
      <c r="D5" s="29"/>
      <c r="E5" s="29"/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36"/>
      <c r="D9" s="36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8"/>
      <c r="H21" s="18"/>
      <c r="I21" s="18"/>
      <c r="J21" s="18"/>
      <c r="K21" s="18"/>
      <c r="L21" s="18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50" t="s">
        <v>45</v>
      </c>
      <c r="H22" s="38">
        <f>COUNTIF(E4:E33, "fiz depressa")</f>
        <v>0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50" t="s">
        <v>49</v>
      </c>
      <c r="H24" s="40">
        <f>COUNTIF(E4:E33, "errei na interpretação")</f>
        <v>1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40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13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27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  <col customWidth="1" min="13" max="13" width="9.0"/>
  </cols>
  <sheetData>
    <row r="1">
      <c r="A1" s="16"/>
      <c r="B1" s="17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44"/>
      <c r="C2" s="44"/>
      <c r="D2" s="44"/>
      <c r="E2" s="4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1" t="s">
        <v>17</v>
      </c>
      <c r="C3" s="47" t="s">
        <v>18</v>
      </c>
      <c r="D3" s="47" t="s">
        <v>19</v>
      </c>
      <c r="E3" s="47" t="s">
        <v>20</v>
      </c>
      <c r="F3" s="30"/>
      <c r="G3" s="16"/>
      <c r="H3" s="23"/>
      <c r="I3" s="24" t="s">
        <v>12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>
        <v>25.0</v>
      </c>
      <c r="D4" s="29">
        <v>12.0</v>
      </c>
      <c r="E4" s="29" t="s">
        <v>24</v>
      </c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>
        <f t="shared" ref="N4:N33" si="1">(D4*100%)/C4</f>
        <v>0.48</v>
      </c>
    </row>
    <row r="5" ht="22.5" customHeight="1">
      <c r="A5" s="23"/>
      <c r="B5" s="29" t="s">
        <v>26</v>
      </c>
      <c r="C5" s="29"/>
      <c r="D5" s="29"/>
      <c r="E5" s="29" t="s">
        <v>62</v>
      </c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36"/>
      <c r="D9" s="36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6"/>
      <c r="H21" s="16"/>
      <c r="I21" s="16"/>
      <c r="J21" s="16"/>
      <c r="K21" s="16"/>
      <c r="L21" s="16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50" t="s">
        <v>45</v>
      </c>
      <c r="H22" s="38">
        <f>COUNTIF(E4:E33, "fiz depressa")</f>
        <v>1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50" t="s">
        <v>49</v>
      </c>
      <c r="H24" s="40">
        <f>COUNTIF(E4:E33, "errei na interpretação")</f>
        <v>1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25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12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13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</cols>
  <sheetData>
    <row r="1">
      <c r="A1" s="16"/>
      <c r="B1" s="17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44"/>
      <c r="C2" s="44"/>
      <c r="D2" s="44"/>
      <c r="E2" s="4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1" t="s">
        <v>17</v>
      </c>
      <c r="C3" s="47" t="s">
        <v>18</v>
      </c>
      <c r="D3" s="47" t="s">
        <v>19</v>
      </c>
      <c r="E3" s="47" t="s">
        <v>20</v>
      </c>
      <c r="F3" s="30"/>
      <c r="G3" s="16"/>
      <c r="H3" s="23"/>
      <c r="I3" s="24" t="s">
        <v>13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>
        <v>10.0</v>
      </c>
      <c r="D4" s="29">
        <v>2.0</v>
      </c>
      <c r="E4" s="29" t="s">
        <v>62</v>
      </c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>
        <f t="shared" ref="N4:N33" si="1">(D4*100%)/C4</f>
        <v>0.2</v>
      </c>
    </row>
    <row r="5" ht="22.5" customHeight="1">
      <c r="A5" s="23"/>
      <c r="B5" s="29" t="s">
        <v>26</v>
      </c>
      <c r="C5" s="29"/>
      <c r="D5" s="29"/>
      <c r="E5" s="29"/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36"/>
      <c r="D9" s="36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6"/>
      <c r="H21" s="16"/>
      <c r="I21" s="16"/>
      <c r="J21" s="16"/>
      <c r="K21" s="16"/>
      <c r="L21" s="16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50" t="s">
        <v>45</v>
      </c>
      <c r="H22" s="38">
        <f>COUNTIF(E4:E33, "fiz depressa")</f>
        <v>1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50" t="s">
        <v>49</v>
      </c>
      <c r="H24" s="40">
        <f>COUNTIF(E4:E33, "errei na interpretação")</f>
        <v>0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10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2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8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6"/>
      <c r="G34" s="18"/>
      <c r="H34" s="18"/>
      <c r="I34" s="18"/>
      <c r="J34" s="18"/>
      <c r="K34" s="18"/>
      <c r="L34" s="18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  <col customWidth="1" min="14" max="14" width="9.38"/>
  </cols>
  <sheetData>
    <row r="1">
      <c r="A1" s="16"/>
      <c r="B1" s="17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44"/>
      <c r="C2" s="44"/>
      <c r="D2" s="44"/>
      <c r="E2" s="4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1" t="s">
        <v>17</v>
      </c>
      <c r="C3" s="47" t="s">
        <v>18</v>
      </c>
      <c r="D3" s="47" t="s">
        <v>19</v>
      </c>
      <c r="E3" s="47" t="s">
        <v>20</v>
      </c>
      <c r="F3" s="30"/>
      <c r="G3" s="16"/>
      <c r="H3" s="23"/>
      <c r="I3" s="24" t="s">
        <v>14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/>
      <c r="D4" s="29"/>
      <c r="E4" s="29"/>
      <c r="F4" s="30"/>
      <c r="G4" s="16"/>
      <c r="H4" s="16"/>
      <c r="I4" s="52" t="s">
        <v>25</v>
      </c>
      <c r="J4" s="32"/>
      <c r="K4" s="32"/>
      <c r="L4" s="33"/>
      <c r="M4" s="28">
        <v>1.0</v>
      </c>
      <c r="N4" s="34" t="str">
        <f t="shared" ref="N4:N33" si="1">(D4*100%)/C4</f>
        <v>#DIV/0!</v>
      </c>
    </row>
    <row r="5" ht="22.5" customHeight="1">
      <c r="A5" s="23"/>
      <c r="B5" s="29" t="s">
        <v>26</v>
      </c>
      <c r="C5" s="29"/>
      <c r="D5" s="29"/>
      <c r="E5" s="29"/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36"/>
      <c r="D9" s="36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6"/>
      <c r="H21" s="16"/>
      <c r="I21" s="16"/>
      <c r="J21" s="16"/>
      <c r="K21" s="16"/>
      <c r="L21" s="16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50" t="s">
        <v>45</v>
      </c>
      <c r="H22" s="38">
        <f>COUNTIF(E4:E33, "fiz depressa")</f>
        <v>0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50" t="s">
        <v>49</v>
      </c>
      <c r="H24" s="40">
        <f>COUNTIF(E4:E33, "errei na interpretação")</f>
        <v>0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0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0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0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6"/>
      <c r="H33" s="16"/>
      <c r="I33" s="16"/>
      <c r="J33" s="16"/>
      <c r="K33" s="16"/>
      <c r="L33" s="16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3.13"/>
  </cols>
  <sheetData>
    <row r="1">
      <c r="A1" s="16"/>
      <c r="B1" s="17"/>
      <c r="C1" s="17"/>
      <c r="D1" s="17"/>
      <c r="E1" s="17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44"/>
      <c r="C2" s="44"/>
      <c r="D2" s="44"/>
      <c r="E2" s="4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1" t="s">
        <v>17</v>
      </c>
      <c r="C3" s="47" t="s">
        <v>18</v>
      </c>
      <c r="D3" s="47" t="s">
        <v>19</v>
      </c>
      <c r="E3" s="47" t="s">
        <v>20</v>
      </c>
      <c r="F3" s="30"/>
      <c r="G3" s="16"/>
      <c r="H3" s="23"/>
      <c r="I3" s="24" t="s">
        <v>15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29" t="s">
        <v>23</v>
      </c>
      <c r="C4" s="29"/>
      <c r="D4" s="29"/>
      <c r="E4" s="29"/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 t="str">
        <f t="shared" ref="N4:N33" si="1">(D4*100%)/C4</f>
        <v>#DIV/0!</v>
      </c>
    </row>
    <row r="5" ht="22.5" customHeight="1">
      <c r="A5" s="23"/>
      <c r="B5" s="29" t="s">
        <v>26</v>
      </c>
      <c r="C5" s="29"/>
      <c r="D5" s="29"/>
      <c r="E5" s="29"/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29" t="s">
        <v>28</v>
      </c>
      <c r="C6" s="29"/>
      <c r="D6" s="29"/>
      <c r="E6" s="29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29" t="s">
        <v>29</v>
      </c>
      <c r="C7" s="29"/>
      <c r="D7" s="29"/>
      <c r="E7" s="29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29" t="s">
        <v>30</v>
      </c>
      <c r="C8" s="29"/>
      <c r="D8" s="29"/>
      <c r="E8" s="29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29" t="s">
        <v>31</v>
      </c>
      <c r="C9" s="36"/>
      <c r="D9" s="36"/>
      <c r="E9" s="29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29" t="s">
        <v>32</v>
      </c>
      <c r="C10" s="36"/>
      <c r="D10" s="36"/>
      <c r="E10" s="29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29" t="s">
        <v>33</v>
      </c>
      <c r="C11" s="36"/>
      <c r="D11" s="36"/>
      <c r="E11" s="29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29" t="s">
        <v>34</v>
      </c>
      <c r="C12" s="36"/>
      <c r="D12" s="36"/>
      <c r="E12" s="29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29" t="s">
        <v>35</v>
      </c>
      <c r="C13" s="36"/>
      <c r="D13" s="36"/>
      <c r="E13" s="29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29" t="s">
        <v>36</v>
      </c>
      <c r="C14" s="36"/>
      <c r="D14" s="36"/>
      <c r="E14" s="29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29" t="s">
        <v>37</v>
      </c>
      <c r="C15" s="36"/>
      <c r="D15" s="36"/>
      <c r="E15" s="29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29" t="s">
        <v>38</v>
      </c>
      <c r="C16" s="36"/>
      <c r="D16" s="36"/>
      <c r="E16" s="29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29" t="s">
        <v>39</v>
      </c>
      <c r="C17" s="36"/>
      <c r="D17" s="36"/>
      <c r="E17" s="29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29" t="s">
        <v>40</v>
      </c>
      <c r="C18" s="36"/>
      <c r="D18" s="36"/>
      <c r="E18" s="29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29" t="s">
        <v>41</v>
      </c>
      <c r="C19" s="36"/>
      <c r="D19" s="36"/>
      <c r="E19" s="29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29" t="s">
        <v>42</v>
      </c>
      <c r="C20" s="36"/>
      <c r="D20" s="36"/>
      <c r="E20" s="29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29" t="s">
        <v>43</v>
      </c>
      <c r="C21" s="36"/>
      <c r="D21" s="36"/>
      <c r="E21" s="29"/>
      <c r="F21" s="30"/>
      <c r="G21" s="18"/>
      <c r="H21" s="18"/>
      <c r="I21" s="18"/>
      <c r="J21" s="18"/>
      <c r="K21" s="18"/>
      <c r="L21" s="18"/>
      <c r="M21" s="28">
        <v>18.0</v>
      </c>
      <c r="N21" s="34" t="str">
        <f t="shared" si="1"/>
        <v>#DIV/0!</v>
      </c>
    </row>
    <row r="22" ht="22.5" customHeight="1">
      <c r="A22" s="23"/>
      <c r="B22" s="29" t="s">
        <v>44</v>
      </c>
      <c r="C22" s="36"/>
      <c r="D22" s="36"/>
      <c r="E22" s="29"/>
      <c r="F22" s="30"/>
      <c r="G22" s="50" t="s">
        <v>45</v>
      </c>
      <c r="H22" s="38">
        <f>COUNTIF(E4:E33, "fiz depressa")</f>
        <v>0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29" t="s">
        <v>46</v>
      </c>
      <c r="C23" s="36"/>
      <c r="D23" s="36"/>
      <c r="E23" s="29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29" t="s">
        <v>48</v>
      </c>
      <c r="C24" s="36"/>
      <c r="D24" s="36"/>
      <c r="E24" s="29"/>
      <c r="F24" s="30"/>
      <c r="G24" s="50" t="s">
        <v>49</v>
      </c>
      <c r="H24" s="40">
        <f>COUNTIF(E4:E33, "errei na interpretação")</f>
        <v>0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29" t="s">
        <v>50</v>
      </c>
      <c r="C25" s="29"/>
      <c r="D25" s="29"/>
      <c r="E25" s="29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29" t="s">
        <v>51</v>
      </c>
      <c r="C26" s="36"/>
      <c r="D26" s="36"/>
      <c r="E26" s="29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29" t="s">
        <v>52</v>
      </c>
      <c r="C27" s="36"/>
      <c r="D27" s="36"/>
      <c r="E27" s="29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29" t="s">
        <v>53</v>
      </c>
      <c r="C28" s="36"/>
      <c r="D28" s="36"/>
      <c r="E28" s="29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29" t="s">
        <v>54</v>
      </c>
      <c r="C29" s="36"/>
      <c r="D29" s="36"/>
      <c r="E29" s="29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29" t="s">
        <v>55</v>
      </c>
      <c r="C30" s="36"/>
      <c r="D30" s="36"/>
      <c r="E30" s="29"/>
      <c r="F30" s="30"/>
      <c r="G30" s="18"/>
      <c r="H30" s="28" t="s">
        <v>56</v>
      </c>
      <c r="I30" s="18">
        <f>SUM(C4:C33)</f>
        <v>0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29" t="s">
        <v>57</v>
      </c>
      <c r="C31" s="36"/>
      <c r="D31" s="36"/>
      <c r="E31" s="29"/>
      <c r="F31" s="30"/>
      <c r="G31" s="18"/>
      <c r="H31" s="28" t="s">
        <v>58</v>
      </c>
      <c r="I31" s="18">
        <f>SUM(D4:D33)</f>
        <v>0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29" t="s">
        <v>59</v>
      </c>
      <c r="C32" s="36"/>
      <c r="D32" s="36"/>
      <c r="E32" s="29"/>
      <c r="F32" s="30"/>
      <c r="G32" s="18"/>
      <c r="H32" s="28" t="s">
        <v>60</v>
      </c>
      <c r="I32" s="18">
        <f>I30-I31</f>
        <v>0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29" t="s">
        <v>61</v>
      </c>
      <c r="C33" s="36"/>
      <c r="D33" s="36"/>
      <c r="E33" s="29"/>
      <c r="F33" s="30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42"/>
      <c r="C34" s="42"/>
      <c r="D34" s="42"/>
      <c r="E34" s="42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5" max="5" width="26.75"/>
    <col customWidth="1" min="13" max="13" width="9.0"/>
  </cols>
  <sheetData>
    <row r="1">
      <c r="A1" s="16"/>
      <c r="B1" s="53"/>
      <c r="C1" s="53"/>
      <c r="D1" s="53"/>
      <c r="E1" s="53"/>
      <c r="F1" s="16"/>
      <c r="G1" s="16"/>
      <c r="H1" s="16"/>
      <c r="I1" s="16"/>
      <c r="J1" s="16"/>
      <c r="K1" s="16"/>
      <c r="L1" s="16"/>
      <c r="M1" s="18"/>
      <c r="N1" s="19"/>
    </row>
    <row r="2">
      <c r="A2" s="16"/>
      <c r="B2" s="54"/>
      <c r="C2" s="54"/>
      <c r="D2" s="54"/>
      <c r="E2" s="54"/>
      <c r="F2" s="16"/>
      <c r="G2" s="16"/>
      <c r="H2" s="16"/>
      <c r="I2" s="20"/>
      <c r="J2" s="20"/>
      <c r="K2" s="20"/>
      <c r="L2" s="20"/>
      <c r="M2" s="18"/>
      <c r="N2" s="19"/>
    </row>
    <row r="3" ht="22.5" customHeight="1">
      <c r="A3" s="23"/>
      <c r="B3" s="55" t="s">
        <v>17</v>
      </c>
      <c r="C3" s="56" t="s">
        <v>18</v>
      </c>
      <c r="D3" s="56" t="s">
        <v>19</v>
      </c>
      <c r="E3" s="56" t="s">
        <v>20</v>
      </c>
      <c r="F3" s="30"/>
      <c r="G3" s="16"/>
      <c r="H3" s="23"/>
      <c r="I3" s="24" t="s">
        <v>16</v>
      </c>
      <c r="J3" s="25"/>
      <c r="K3" s="25"/>
      <c r="L3" s="26"/>
      <c r="M3" s="27" t="s">
        <v>21</v>
      </c>
      <c r="N3" s="28" t="s">
        <v>22</v>
      </c>
    </row>
    <row r="4" ht="22.5" customHeight="1">
      <c r="A4" s="23"/>
      <c r="B4" s="57" t="s">
        <v>23</v>
      </c>
      <c r="C4" s="57">
        <v>8.0</v>
      </c>
      <c r="D4" s="57">
        <v>5.0</v>
      </c>
      <c r="E4" s="57" t="s">
        <v>24</v>
      </c>
      <c r="F4" s="30"/>
      <c r="G4" s="16"/>
      <c r="H4" s="16"/>
      <c r="I4" s="31" t="s">
        <v>25</v>
      </c>
      <c r="J4" s="32"/>
      <c r="K4" s="32"/>
      <c r="L4" s="33"/>
      <c r="M4" s="28">
        <v>1.0</v>
      </c>
      <c r="N4" s="34">
        <f t="shared" ref="N4:N33" si="1">(D4*100%)/C4</f>
        <v>0.625</v>
      </c>
    </row>
    <row r="5" ht="22.5" customHeight="1">
      <c r="A5" s="23"/>
      <c r="B5" s="57" t="s">
        <v>26</v>
      </c>
      <c r="C5" s="57"/>
      <c r="D5" s="57"/>
      <c r="E5" s="57"/>
      <c r="F5" s="30"/>
      <c r="G5" s="16"/>
      <c r="H5" s="16"/>
      <c r="I5" s="16"/>
      <c r="J5" s="16"/>
      <c r="K5" s="16"/>
      <c r="L5" s="16"/>
      <c r="M5" s="28">
        <v>2.0</v>
      </c>
      <c r="N5" s="34" t="str">
        <f t="shared" si="1"/>
        <v>#DIV/0!</v>
      </c>
    </row>
    <row r="6" ht="22.5" customHeight="1">
      <c r="A6" s="23"/>
      <c r="B6" s="57" t="s">
        <v>28</v>
      </c>
      <c r="C6" s="57"/>
      <c r="D6" s="57"/>
      <c r="E6" s="57"/>
      <c r="F6" s="30"/>
      <c r="G6" s="35"/>
      <c r="H6" s="16"/>
      <c r="I6" s="16"/>
      <c r="J6" s="16"/>
      <c r="K6" s="16"/>
      <c r="L6" s="16"/>
      <c r="M6" s="28">
        <v>3.0</v>
      </c>
      <c r="N6" s="34" t="str">
        <f t="shared" si="1"/>
        <v>#DIV/0!</v>
      </c>
    </row>
    <row r="7" ht="22.5" customHeight="1">
      <c r="A7" s="23"/>
      <c r="B7" s="57" t="s">
        <v>29</v>
      </c>
      <c r="C7" s="57"/>
      <c r="D7" s="57"/>
      <c r="E7" s="57"/>
      <c r="F7" s="30"/>
      <c r="G7" s="35"/>
      <c r="H7" s="16"/>
      <c r="I7" s="16"/>
      <c r="J7" s="16"/>
      <c r="K7" s="16"/>
      <c r="L7" s="16"/>
      <c r="M7" s="28">
        <v>4.0</v>
      </c>
      <c r="N7" s="34" t="str">
        <f t="shared" si="1"/>
        <v>#DIV/0!</v>
      </c>
    </row>
    <row r="8" ht="22.5" customHeight="1">
      <c r="A8" s="23"/>
      <c r="B8" s="57" t="s">
        <v>30</v>
      </c>
      <c r="C8" s="57"/>
      <c r="D8" s="57"/>
      <c r="E8" s="57"/>
      <c r="F8" s="30"/>
      <c r="G8" s="35"/>
      <c r="H8" s="16"/>
      <c r="I8" s="16"/>
      <c r="J8" s="16"/>
      <c r="K8" s="16"/>
      <c r="L8" s="16"/>
      <c r="M8" s="28">
        <v>5.0</v>
      </c>
      <c r="N8" s="34" t="str">
        <f t="shared" si="1"/>
        <v>#DIV/0!</v>
      </c>
    </row>
    <row r="9" ht="22.5" customHeight="1">
      <c r="A9" s="23"/>
      <c r="B9" s="57" t="s">
        <v>31</v>
      </c>
      <c r="C9" s="58"/>
      <c r="D9" s="58"/>
      <c r="E9" s="57"/>
      <c r="F9" s="30"/>
      <c r="G9" s="16"/>
      <c r="H9" s="16"/>
      <c r="I9" s="16"/>
      <c r="J9" s="16"/>
      <c r="K9" s="16"/>
      <c r="L9" s="16"/>
      <c r="M9" s="28">
        <v>6.0</v>
      </c>
      <c r="N9" s="34" t="str">
        <f t="shared" si="1"/>
        <v>#DIV/0!</v>
      </c>
    </row>
    <row r="10" ht="22.5" customHeight="1">
      <c r="A10" s="23"/>
      <c r="B10" s="57" t="s">
        <v>32</v>
      </c>
      <c r="C10" s="58"/>
      <c r="D10" s="58"/>
      <c r="E10" s="57"/>
      <c r="F10" s="30"/>
      <c r="G10" s="16"/>
      <c r="H10" s="16"/>
      <c r="I10" s="16"/>
      <c r="J10" s="16"/>
      <c r="K10" s="16"/>
      <c r="L10" s="16"/>
      <c r="M10" s="28">
        <v>7.0</v>
      </c>
      <c r="N10" s="34" t="str">
        <f t="shared" si="1"/>
        <v>#DIV/0!</v>
      </c>
    </row>
    <row r="11" ht="22.5" customHeight="1">
      <c r="A11" s="23"/>
      <c r="B11" s="57" t="s">
        <v>33</v>
      </c>
      <c r="C11" s="58"/>
      <c r="D11" s="58"/>
      <c r="E11" s="57"/>
      <c r="F11" s="30"/>
      <c r="G11" s="16"/>
      <c r="H11" s="16"/>
      <c r="I11" s="16"/>
      <c r="J11" s="16"/>
      <c r="K11" s="16"/>
      <c r="L11" s="16"/>
      <c r="M11" s="28">
        <v>8.0</v>
      </c>
      <c r="N11" s="34" t="str">
        <f t="shared" si="1"/>
        <v>#DIV/0!</v>
      </c>
    </row>
    <row r="12" ht="22.5" customHeight="1">
      <c r="A12" s="23"/>
      <c r="B12" s="57" t="s">
        <v>34</v>
      </c>
      <c r="C12" s="58"/>
      <c r="D12" s="58"/>
      <c r="E12" s="57"/>
      <c r="F12" s="30"/>
      <c r="G12" s="16"/>
      <c r="H12" s="16"/>
      <c r="I12" s="16"/>
      <c r="J12" s="16"/>
      <c r="K12" s="16"/>
      <c r="L12" s="16"/>
      <c r="M12" s="28">
        <v>9.0</v>
      </c>
      <c r="N12" s="34" t="str">
        <f t="shared" si="1"/>
        <v>#DIV/0!</v>
      </c>
    </row>
    <row r="13" ht="22.5" customHeight="1">
      <c r="A13" s="23"/>
      <c r="B13" s="57" t="s">
        <v>35</v>
      </c>
      <c r="C13" s="58"/>
      <c r="D13" s="58"/>
      <c r="E13" s="57"/>
      <c r="F13" s="30"/>
      <c r="G13" s="16"/>
      <c r="H13" s="16"/>
      <c r="I13" s="16"/>
      <c r="J13" s="16"/>
      <c r="K13" s="16"/>
      <c r="L13" s="16"/>
      <c r="M13" s="28">
        <v>10.0</v>
      </c>
      <c r="N13" s="34" t="str">
        <f t="shared" si="1"/>
        <v>#DIV/0!</v>
      </c>
    </row>
    <row r="14" ht="22.5" customHeight="1">
      <c r="A14" s="23"/>
      <c r="B14" s="57" t="s">
        <v>36</v>
      </c>
      <c r="C14" s="58"/>
      <c r="D14" s="58"/>
      <c r="E14" s="57"/>
      <c r="F14" s="30"/>
      <c r="G14" s="16"/>
      <c r="H14" s="16"/>
      <c r="I14" s="16"/>
      <c r="J14" s="16"/>
      <c r="K14" s="16"/>
      <c r="L14" s="16"/>
      <c r="M14" s="28">
        <v>11.0</v>
      </c>
      <c r="N14" s="34" t="str">
        <f t="shared" si="1"/>
        <v>#DIV/0!</v>
      </c>
    </row>
    <row r="15" ht="22.5" customHeight="1">
      <c r="A15" s="23"/>
      <c r="B15" s="57" t="s">
        <v>37</v>
      </c>
      <c r="C15" s="58"/>
      <c r="D15" s="58"/>
      <c r="E15" s="57"/>
      <c r="F15" s="30"/>
      <c r="G15" s="16"/>
      <c r="H15" s="16"/>
      <c r="I15" s="16"/>
      <c r="J15" s="16"/>
      <c r="K15" s="16"/>
      <c r="L15" s="16"/>
      <c r="M15" s="28">
        <v>12.0</v>
      </c>
      <c r="N15" s="34" t="str">
        <f t="shared" si="1"/>
        <v>#DIV/0!</v>
      </c>
    </row>
    <row r="16" ht="22.5" customHeight="1">
      <c r="A16" s="23"/>
      <c r="B16" s="57" t="s">
        <v>38</v>
      </c>
      <c r="C16" s="58"/>
      <c r="D16" s="58"/>
      <c r="E16" s="57"/>
      <c r="F16" s="30"/>
      <c r="G16" s="16"/>
      <c r="H16" s="16"/>
      <c r="I16" s="16"/>
      <c r="J16" s="16"/>
      <c r="K16" s="16"/>
      <c r="L16" s="16"/>
      <c r="M16" s="28">
        <v>13.0</v>
      </c>
      <c r="N16" s="34" t="str">
        <f t="shared" si="1"/>
        <v>#DIV/0!</v>
      </c>
    </row>
    <row r="17" ht="22.5" customHeight="1">
      <c r="A17" s="23"/>
      <c r="B17" s="57" t="s">
        <v>39</v>
      </c>
      <c r="C17" s="58"/>
      <c r="D17" s="58"/>
      <c r="E17" s="57"/>
      <c r="F17" s="30"/>
      <c r="G17" s="16"/>
      <c r="H17" s="16"/>
      <c r="I17" s="16"/>
      <c r="J17" s="16"/>
      <c r="K17" s="16"/>
      <c r="L17" s="16"/>
      <c r="M17" s="28">
        <v>14.0</v>
      </c>
      <c r="N17" s="34" t="str">
        <f t="shared" si="1"/>
        <v>#DIV/0!</v>
      </c>
    </row>
    <row r="18" ht="22.5" customHeight="1">
      <c r="A18" s="23"/>
      <c r="B18" s="57" t="s">
        <v>40</v>
      </c>
      <c r="C18" s="58"/>
      <c r="D18" s="58"/>
      <c r="E18" s="57"/>
      <c r="F18" s="30"/>
      <c r="G18" s="16"/>
      <c r="H18" s="16"/>
      <c r="I18" s="16"/>
      <c r="J18" s="16"/>
      <c r="K18" s="16"/>
      <c r="L18" s="16"/>
      <c r="M18" s="28">
        <v>15.0</v>
      </c>
      <c r="N18" s="34" t="str">
        <f t="shared" si="1"/>
        <v>#DIV/0!</v>
      </c>
    </row>
    <row r="19" ht="22.5" customHeight="1">
      <c r="A19" s="23"/>
      <c r="B19" s="57" t="s">
        <v>41</v>
      </c>
      <c r="C19" s="58"/>
      <c r="D19" s="58"/>
      <c r="E19" s="57"/>
      <c r="F19" s="30"/>
      <c r="G19" s="16"/>
      <c r="H19" s="16"/>
      <c r="I19" s="16"/>
      <c r="J19" s="16"/>
      <c r="K19" s="16"/>
      <c r="L19" s="16"/>
      <c r="M19" s="28">
        <v>16.0</v>
      </c>
      <c r="N19" s="34" t="str">
        <f t="shared" si="1"/>
        <v>#DIV/0!</v>
      </c>
    </row>
    <row r="20" ht="22.5" customHeight="1">
      <c r="A20" s="23"/>
      <c r="B20" s="57" t="s">
        <v>42</v>
      </c>
      <c r="C20" s="58"/>
      <c r="D20" s="58"/>
      <c r="E20" s="57"/>
      <c r="F20" s="30"/>
      <c r="G20" s="16"/>
      <c r="H20" s="16"/>
      <c r="I20" s="16"/>
      <c r="J20" s="16"/>
      <c r="K20" s="16"/>
      <c r="L20" s="16"/>
      <c r="M20" s="28">
        <v>17.0</v>
      </c>
      <c r="N20" s="34" t="str">
        <f t="shared" si="1"/>
        <v>#DIV/0!</v>
      </c>
    </row>
    <row r="21" ht="22.5" customHeight="1">
      <c r="A21" s="23"/>
      <c r="B21" s="57" t="s">
        <v>43</v>
      </c>
      <c r="C21" s="58"/>
      <c r="D21" s="58"/>
      <c r="E21" s="57"/>
      <c r="F21" s="30"/>
      <c r="G21" s="16"/>
      <c r="H21" s="16"/>
      <c r="I21" s="16"/>
      <c r="J21" s="16"/>
      <c r="K21" s="16"/>
      <c r="L21" s="16"/>
      <c r="M21" s="28">
        <v>18.0</v>
      </c>
      <c r="N21" s="34" t="str">
        <f t="shared" si="1"/>
        <v>#DIV/0!</v>
      </c>
    </row>
    <row r="22" ht="22.5" customHeight="1">
      <c r="A22" s="23"/>
      <c r="B22" s="57" t="s">
        <v>44</v>
      </c>
      <c r="C22" s="58"/>
      <c r="D22" s="58"/>
      <c r="E22" s="57"/>
      <c r="F22" s="30"/>
      <c r="G22" s="50" t="s">
        <v>45</v>
      </c>
      <c r="H22" s="38">
        <f>COUNTIF(E4:E33, "fiz depressa")</f>
        <v>0</v>
      </c>
      <c r="I22" s="18"/>
      <c r="J22" s="18"/>
      <c r="K22" s="18"/>
      <c r="L22" s="18"/>
      <c r="M22" s="28">
        <v>19.0</v>
      </c>
      <c r="N22" s="34" t="str">
        <f t="shared" si="1"/>
        <v>#DIV/0!</v>
      </c>
    </row>
    <row r="23" ht="22.5" customHeight="1">
      <c r="A23" s="23"/>
      <c r="B23" s="57" t="s">
        <v>46</v>
      </c>
      <c r="C23" s="58"/>
      <c r="D23" s="58"/>
      <c r="E23" s="57"/>
      <c r="F23" s="30"/>
      <c r="G23" s="50" t="s">
        <v>47</v>
      </c>
      <c r="H23" s="40">
        <f>COUNTIF(E4:E33, "faltou conteúdo")</f>
        <v>0</v>
      </c>
      <c r="I23" s="18"/>
      <c r="J23" s="18"/>
      <c r="K23" s="18"/>
      <c r="L23" s="18"/>
      <c r="M23" s="28">
        <v>20.0</v>
      </c>
      <c r="N23" s="34" t="str">
        <f t="shared" si="1"/>
        <v>#DIV/0!</v>
      </c>
    </row>
    <row r="24" ht="22.5" customHeight="1">
      <c r="A24" s="23"/>
      <c r="B24" s="57" t="s">
        <v>48</v>
      </c>
      <c r="C24" s="58"/>
      <c r="D24" s="58"/>
      <c r="E24" s="57"/>
      <c r="F24" s="30"/>
      <c r="G24" s="50" t="s">
        <v>49</v>
      </c>
      <c r="H24" s="40">
        <f>COUNTIF(E4:E33, "errei na interpretação")</f>
        <v>1</v>
      </c>
      <c r="I24" s="18"/>
      <c r="J24" s="18"/>
      <c r="K24" s="18"/>
      <c r="L24" s="18"/>
      <c r="M24" s="28">
        <v>21.0</v>
      </c>
      <c r="N24" s="34" t="str">
        <f t="shared" si="1"/>
        <v>#DIV/0!</v>
      </c>
    </row>
    <row r="25" ht="22.5" customHeight="1">
      <c r="A25" s="23"/>
      <c r="B25" s="57" t="s">
        <v>50</v>
      </c>
      <c r="C25" s="57"/>
      <c r="D25" s="57"/>
      <c r="E25" s="57"/>
      <c r="F25" s="30"/>
      <c r="G25" s="40"/>
      <c r="H25" s="40"/>
      <c r="I25" s="18"/>
      <c r="J25" s="18"/>
      <c r="K25" s="18"/>
      <c r="L25" s="18"/>
      <c r="M25" s="28">
        <v>22.0</v>
      </c>
      <c r="N25" s="34" t="str">
        <f t="shared" si="1"/>
        <v>#DIV/0!</v>
      </c>
    </row>
    <row r="26" ht="22.5" customHeight="1">
      <c r="A26" s="23"/>
      <c r="B26" s="57" t="s">
        <v>51</v>
      </c>
      <c r="C26" s="58"/>
      <c r="D26" s="58"/>
      <c r="E26" s="57"/>
      <c r="F26" s="30"/>
      <c r="G26" s="18"/>
      <c r="H26" s="18"/>
      <c r="I26" s="18"/>
      <c r="J26" s="18"/>
      <c r="K26" s="18"/>
      <c r="L26" s="18"/>
      <c r="M26" s="28">
        <v>23.0</v>
      </c>
      <c r="N26" s="34" t="str">
        <f t="shared" si="1"/>
        <v>#DIV/0!</v>
      </c>
    </row>
    <row r="27" ht="22.5" customHeight="1">
      <c r="A27" s="23"/>
      <c r="B27" s="57" t="s">
        <v>52</v>
      </c>
      <c r="C27" s="58"/>
      <c r="D27" s="58"/>
      <c r="E27" s="57"/>
      <c r="F27" s="30"/>
      <c r="G27" s="18"/>
      <c r="H27" s="18"/>
      <c r="I27" s="18"/>
      <c r="J27" s="18"/>
      <c r="K27" s="18"/>
      <c r="L27" s="18"/>
      <c r="M27" s="28">
        <v>24.0</v>
      </c>
      <c r="N27" s="34" t="str">
        <f t="shared" si="1"/>
        <v>#DIV/0!</v>
      </c>
    </row>
    <row r="28" ht="22.5" customHeight="1">
      <c r="A28" s="23"/>
      <c r="B28" s="57" t="s">
        <v>53</v>
      </c>
      <c r="C28" s="58"/>
      <c r="D28" s="58"/>
      <c r="E28" s="57"/>
      <c r="F28" s="30"/>
      <c r="G28" s="18"/>
      <c r="H28" s="18"/>
      <c r="I28" s="18"/>
      <c r="J28" s="18"/>
      <c r="K28" s="18"/>
      <c r="L28" s="18"/>
      <c r="M28" s="28">
        <v>25.0</v>
      </c>
      <c r="N28" s="34" t="str">
        <f t="shared" si="1"/>
        <v>#DIV/0!</v>
      </c>
    </row>
    <row r="29" ht="22.5" customHeight="1">
      <c r="A29" s="23"/>
      <c r="B29" s="57" t="s">
        <v>54</v>
      </c>
      <c r="C29" s="58"/>
      <c r="D29" s="58"/>
      <c r="E29" s="57"/>
      <c r="F29" s="30"/>
      <c r="G29" s="18"/>
      <c r="H29" s="18"/>
      <c r="I29" s="18"/>
      <c r="J29" s="18"/>
      <c r="K29" s="18"/>
      <c r="L29" s="18"/>
      <c r="M29" s="28">
        <v>26.0</v>
      </c>
      <c r="N29" s="34" t="str">
        <f t="shared" si="1"/>
        <v>#DIV/0!</v>
      </c>
    </row>
    <row r="30" ht="22.5" customHeight="1">
      <c r="A30" s="23"/>
      <c r="B30" s="57" t="s">
        <v>55</v>
      </c>
      <c r="C30" s="58"/>
      <c r="D30" s="58"/>
      <c r="E30" s="57"/>
      <c r="F30" s="30"/>
      <c r="G30" s="18"/>
      <c r="H30" s="28" t="s">
        <v>56</v>
      </c>
      <c r="I30" s="18">
        <f>SUM(C4:C33)</f>
        <v>8</v>
      </c>
      <c r="J30" s="18"/>
      <c r="K30" s="18"/>
      <c r="L30" s="18"/>
      <c r="M30" s="28">
        <v>27.0</v>
      </c>
      <c r="N30" s="34" t="str">
        <f t="shared" si="1"/>
        <v>#DIV/0!</v>
      </c>
    </row>
    <row r="31" ht="22.5" customHeight="1">
      <c r="A31" s="23"/>
      <c r="B31" s="57" t="s">
        <v>57</v>
      </c>
      <c r="C31" s="58"/>
      <c r="D31" s="58"/>
      <c r="E31" s="57"/>
      <c r="F31" s="30"/>
      <c r="G31" s="18"/>
      <c r="H31" s="28" t="s">
        <v>58</v>
      </c>
      <c r="I31" s="18">
        <f>SUM(D4:D33)</f>
        <v>5</v>
      </c>
      <c r="J31" s="18"/>
      <c r="K31" s="18"/>
      <c r="L31" s="18"/>
      <c r="M31" s="28">
        <v>28.0</v>
      </c>
      <c r="N31" s="34" t="str">
        <f t="shared" si="1"/>
        <v>#DIV/0!</v>
      </c>
    </row>
    <row r="32" ht="22.5" customHeight="1">
      <c r="A32" s="23"/>
      <c r="B32" s="57" t="s">
        <v>59</v>
      </c>
      <c r="C32" s="58"/>
      <c r="D32" s="58"/>
      <c r="E32" s="57"/>
      <c r="F32" s="30"/>
      <c r="G32" s="18"/>
      <c r="H32" s="28" t="s">
        <v>60</v>
      </c>
      <c r="I32" s="18">
        <f>I30-I31</f>
        <v>3</v>
      </c>
      <c r="J32" s="18"/>
      <c r="K32" s="18"/>
      <c r="L32" s="18"/>
      <c r="M32" s="28">
        <v>29.0</v>
      </c>
      <c r="N32" s="34" t="str">
        <f t="shared" si="1"/>
        <v>#DIV/0!</v>
      </c>
    </row>
    <row r="33" ht="22.5" customHeight="1">
      <c r="A33" s="23"/>
      <c r="B33" s="57" t="s">
        <v>61</v>
      </c>
      <c r="C33" s="58"/>
      <c r="D33" s="58"/>
      <c r="E33" s="57"/>
      <c r="F33" s="30"/>
      <c r="G33" s="18"/>
      <c r="H33" s="18"/>
      <c r="I33" s="18"/>
      <c r="J33" s="18"/>
      <c r="K33" s="18"/>
      <c r="L33" s="18"/>
      <c r="M33" s="28">
        <v>30.0</v>
      </c>
      <c r="N33" s="34" t="str">
        <f t="shared" si="1"/>
        <v>#DIV/0!</v>
      </c>
    </row>
    <row r="34">
      <c r="A34" s="16"/>
      <c r="B34" s="59"/>
      <c r="C34" s="59"/>
      <c r="D34" s="59"/>
      <c r="E34" s="59"/>
      <c r="F34" s="16"/>
      <c r="G34" s="16"/>
      <c r="H34" s="16"/>
      <c r="I34" s="16"/>
      <c r="J34" s="16"/>
      <c r="K34" s="16"/>
      <c r="L34" s="16"/>
      <c r="M34" s="18"/>
      <c r="N34" s="19"/>
    </row>
  </sheetData>
  <mergeCells count="2">
    <mergeCell ref="I3:L3"/>
    <mergeCell ref="I4:L4"/>
  </mergeCells>
  <dataValidations>
    <dataValidation type="list" allowBlank="1" showErrorMessage="1" sqref="E4:E33">
      <formula1>"Faltou Conteúdo,Errei na Interpretação,Fiz Depressa"</formula1>
    </dataValidation>
  </dataValidations>
  <drawing r:id="rId1"/>
  <tableParts count="1">
    <tablePart r:id="rId3"/>
  </tableParts>
</worksheet>
</file>